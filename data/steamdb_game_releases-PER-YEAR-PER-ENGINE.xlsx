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40009_{C38EE6EB-EF90-49E0-8E3D-F69EB3D8FE8D}" xr6:coauthVersionLast="45" xr6:coauthVersionMax="45" xr10:uidLastSave="{00000000-0000-0000-0000-000000000000}"/>
  <bookViews>
    <workbookView xWindow="-120" yWindow="-120" windowWidth="29040" windowHeight="15840"/>
  </bookViews>
  <sheets>
    <sheet name="Ark1" sheetId="1" r:id="rId1"/>
  </sheets>
  <calcPr calcId="191029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I2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4" i="1"/>
  <c r="C25" i="1" l="1"/>
  <c r="G25" i="1"/>
  <c r="I25" i="1"/>
  <c r="E25" i="1"/>
</calcChain>
</file>

<file path=xl/sharedStrings.xml><?xml version="1.0" encoding="utf-8"?>
<sst xmlns="http://schemas.openxmlformats.org/spreadsheetml/2006/main" count="32" uniqueCount="32">
  <si>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</si>
  <si>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</si>
  <si>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</si>
  <si>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</si>
  <si>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</si>
  <si>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</si>
  <si>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</si>
  <si>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</si>
  <si>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</si>
  <si>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</si>
  <si>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</si>
  <si>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</si>
  <si>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</si>
  <si>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</si>
  <si>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</si>
  <si>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</si>
  <si>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</si>
  <si>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</si>
  <si>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</si>
  <si>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</si>
  <si>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</t>
  </si>
  <si>
    <t>Growth of Godot games year-over-year (in terms of number of games)</t>
  </si>
  <si>
    <t>Godot games released each year</t>
  </si>
  <si>
    <t>Unity games released each year</t>
  </si>
  <si>
    <t>Unreal games released each year</t>
  </si>
  <si>
    <t>GameMaker games released each year</t>
  </si>
  <si>
    <t>Growth of Unity games year-over-year (in terms of number of games)</t>
  </si>
  <si>
    <t>Growth of Unreal games year-over-year (in terms of number of games)</t>
  </si>
  <si>
    <t>Growth of GameMaker games year-over-year (in terms of number of games)</t>
  </si>
  <si>
    <t>2026 (ignored due to incomplete data)</t>
  </si>
  <si>
    <t>Data from https://steamdb.info/tech/ and https://steamdb.info/stats/releases (filtered by engine and through XLS downloads). Data acquired on 2026-06-25.</t>
  </si>
  <si>
    <t>Average year-on-year growth in the last ten years (excluding 2026):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</si>
</sst>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trike/>
      <sz val="10"/>
      <color theme="2" tint="-0.249977111117893"/>
      <name val="Calibri"/>
      <family val="2"/>
      <scheme val="minor"/>
    </font>
    <font>
      <i/>
      <strike/>
      <sz val="10"/>
      <color theme="2" tint="-0.249977111117893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10" xfId="0" applyFont="1" applyBorder="1" applyAlignment="1">
      <alignment wrapText="1"/>
    </xf>
    <xf numFmtId="0" fontId="21" fillId="0" borderId="0" xfId="0" applyFont="1" applyAlignment="1">
      <alignment horizontal="left" vertical="top"/>
    </xf>
    <xf numFmtId="0" fontId="19" fillId="0" borderId="15" xfId="0" applyFont="1" applyBorder="1" applyAlignment="1">
      <alignment horizontal="center" vertical="center" wrapText="1"/>
    </xf>
    <xf numFmtId="10" fontId="0" fillId="0" borderId="16" xfId="0" applyNumberFormat="1" applyBorder="1"/>
    <xf numFmtId="49" fontId="19" fillId="0" borderId="10" xfId="0" applyNumberFormat="1" applyFont="1" applyBorder="1" applyAlignment="1">
      <alignment horizontal="center" vertical="center" wrapText="1"/>
    </xf>
    <xf numFmtId="10" fontId="18" fillId="0" borderId="0" xfId="0" applyNumberFormat="1" applyFont="1" applyBorder="1" applyAlignment="1">
      <alignment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wrapText="1"/>
    </xf>
    <xf numFmtId="0" fontId="0" fillId="0" borderId="0" xfId="0"/>
    <xf numFmtId="49" fontId="22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wrapText="1"/>
    </xf>
    <xf numFmtId="10" fontId="24" fillId="0" borderId="11" xfId="0" applyNumberFormat="1" applyFont="1" applyBorder="1" applyAlignment="1">
      <alignment wrapText="1"/>
    </xf>
    <xf numFmtId="3" fontId="23" fillId="0" borderId="12" xfId="0" applyNumberFormat="1" applyFont="1" applyBorder="1" applyAlignment="1">
      <alignment wrapText="1"/>
    </xf>
    <xf numFmtId="10" fontId="24" fillId="0" borderId="17" xfId="0" applyNumberFormat="1" applyFont="1" applyBorder="1" applyAlignment="1">
      <alignment wrapText="1"/>
    </xf>
    <xf numFmtId="0" fontId="16" fillId="0" borderId="18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0" fontId="25" fillId="0" borderId="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E23" sqref="E23"/>
    </sheetView>
  </sheetViews>
  <sheetFormatPr defaultRowHeight="15" x14ac:dyDescent="0.25"/>
  <cols>
    <col min="1" max="1" width="21" customWidth="1"/>
    <col min="2" max="2" width="14.7109375" customWidth="1"/>
    <col min="3" max="3" width="26.7109375" style="10" customWidth="1"/>
    <col min="4" max="4" width="14.7109375" customWidth="1"/>
    <col min="5" max="5" width="26.7109375" style="10" customWidth="1"/>
    <col min="6" max="6" width="14.7109375" customWidth="1"/>
    <col min="7" max="7" width="26.7109375" style="10" customWidth="1"/>
    <col min="8" max="8" width="14.7109375" customWidth="1"/>
    <col min="9" max="9" width="26.7109375" customWidth="1"/>
  </cols>
  <sheetData>
    <row r="1" spans="1:9" x14ac:dyDescent="0.25">
      <c r="A1" s="2" t="s">
        <v>30</v>
      </c>
      <c r="B1" s="2"/>
      <c r="C1" s="2"/>
      <c r="D1" s="2"/>
      <c r="E1" s="2"/>
      <c r="F1" s="2"/>
      <c r="G1" s="2"/>
      <c r="H1" s="2"/>
    </row>
    <row r="2" spans="1:9" ht="68.25" customHeight="1" x14ac:dyDescent="0.25">
      <c r="A2" s="7" t="s">
        <v>20</v>
      </c>
      <c r="B2" s="7" t="s">
        <v>22</v>
      </c>
      <c r="C2" s="8" t="s">
        <v>21</v>
      </c>
      <c r="D2" s="7" t="s">
        <v>23</v>
      </c>
      <c r="E2" s="8" t="s">
        <v>26</v>
      </c>
      <c r="F2" s="7" t="s">
        <v>24</v>
      </c>
      <c r="G2" s="8" t="s">
        <v>27</v>
      </c>
      <c r="H2" s="7" t="s">
        <v>25</v>
      </c>
      <c r="I2" s="3" t="s">
        <v>28</v>
      </c>
    </row>
    <row r="3" spans="1:9" x14ac:dyDescent="0.25">
      <c r="A3" s="5" t="s">
        <v>0</v>
      </c>
      <c r="B3" s="1">
        <v>0</v>
      </c>
      <c r="C3" s="6">
        <v>0</v>
      </c>
      <c r="D3" s="1">
        <v>0</v>
      </c>
      <c r="E3" s="6">
        <v>0</v>
      </c>
      <c r="F3" s="1">
        <v>3</v>
      </c>
      <c r="G3" s="6">
        <v>0</v>
      </c>
      <c r="H3" s="1">
        <v>0</v>
      </c>
      <c r="I3" s="4">
        <v>0</v>
      </c>
    </row>
    <row r="4" spans="1:9" x14ac:dyDescent="0.25">
      <c r="A4" s="5" t="s">
        <v>1</v>
      </c>
      <c r="B4" s="1">
        <v>0</v>
      </c>
      <c r="C4" s="6">
        <f>IF(B3=0, 0, (B4-B3)/B3)</f>
        <v>0</v>
      </c>
      <c r="D4" s="1">
        <v>1</v>
      </c>
      <c r="E4" s="6">
        <f>IF(D3=0, 0, (D4-D3)/D3)</f>
        <v>0</v>
      </c>
      <c r="F4" s="1">
        <v>4</v>
      </c>
      <c r="G4" s="6">
        <f>IF(F3=0, 0, (F4-F3)/F3)</f>
        <v>0.33333333333333331</v>
      </c>
      <c r="H4" s="1">
        <v>0</v>
      </c>
      <c r="I4" s="6">
        <f>IF(H3=0, 0, (H4-H3)/H3)</f>
        <v>0</v>
      </c>
    </row>
    <row r="5" spans="1:9" x14ac:dyDescent="0.25">
      <c r="A5" s="5" t="s">
        <v>2</v>
      </c>
      <c r="B5" s="1">
        <v>0</v>
      </c>
      <c r="C5" s="6">
        <f t="shared" ref="C5:C23" si="0">IF(B4=0, 0, (B5-B4)/B4)</f>
        <v>0</v>
      </c>
      <c r="D5" s="1">
        <v>2</v>
      </c>
      <c r="E5" s="6">
        <f t="shared" ref="E5:E23" si="1">IF(D4=0, 0, (D5-D4)/D4)</f>
        <v>1</v>
      </c>
      <c r="F5" s="1">
        <v>17</v>
      </c>
      <c r="G5" s="6">
        <f t="shared" ref="G5:G23" si="2">IF(F4=0, 0, (F5-F4)/F4)</f>
        <v>3.25</v>
      </c>
      <c r="H5" s="1">
        <v>0</v>
      </c>
      <c r="I5" s="6">
        <f t="shared" ref="I5:I22" si="3">IF(H4=0, 0, (H5-H4)/H4)</f>
        <v>0</v>
      </c>
    </row>
    <row r="6" spans="1:9" x14ac:dyDescent="0.25">
      <c r="A6" s="5" t="s">
        <v>3</v>
      </c>
      <c r="B6" s="1">
        <v>0</v>
      </c>
      <c r="C6" s="6">
        <f t="shared" si="0"/>
        <v>0</v>
      </c>
      <c r="D6" s="1">
        <v>5</v>
      </c>
      <c r="E6" s="6">
        <f t="shared" si="1"/>
        <v>1.5</v>
      </c>
      <c r="F6" s="1">
        <v>23</v>
      </c>
      <c r="G6" s="6">
        <f t="shared" si="2"/>
        <v>0.35294117647058826</v>
      </c>
      <c r="H6" s="1">
        <v>0</v>
      </c>
      <c r="I6" s="6">
        <f t="shared" si="3"/>
        <v>0</v>
      </c>
    </row>
    <row r="7" spans="1:9" x14ac:dyDescent="0.25">
      <c r="A7" s="5" t="s">
        <v>4</v>
      </c>
      <c r="B7" s="1">
        <v>0</v>
      </c>
      <c r="C7" s="6">
        <f t="shared" si="0"/>
        <v>0</v>
      </c>
      <c r="D7" s="1">
        <v>9</v>
      </c>
      <c r="E7" s="6">
        <f t="shared" si="1"/>
        <v>0.8</v>
      </c>
      <c r="F7" s="1">
        <v>14</v>
      </c>
      <c r="G7" s="6">
        <f t="shared" si="2"/>
        <v>-0.39130434782608697</v>
      </c>
      <c r="H7" s="1">
        <v>0</v>
      </c>
      <c r="I7" s="6">
        <f t="shared" si="3"/>
        <v>0</v>
      </c>
    </row>
    <row r="8" spans="1:9" x14ac:dyDescent="0.25">
      <c r="A8" s="5" t="s">
        <v>5</v>
      </c>
      <c r="B8" s="1">
        <v>0</v>
      </c>
      <c r="C8" s="6">
        <f t="shared" si="0"/>
        <v>0</v>
      </c>
      <c r="D8" s="1">
        <v>9</v>
      </c>
      <c r="E8" s="6">
        <f t="shared" si="1"/>
        <v>0</v>
      </c>
      <c r="F8" s="1">
        <v>21</v>
      </c>
      <c r="G8" s="6">
        <f t="shared" si="2"/>
        <v>0.5</v>
      </c>
      <c r="H8" s="1">
        <v>0</v>
      </c>
      <c r="I8" s="6">
        <f t="shared" si="3"/>
        <v>0</v>
      </c>
    </row>
    <row r="9" spans="1:9" x14ac:dyDescent="0.25">
      <c r="A9" s="5" t="s">
        <v>6</v>
      </c>
      <c r="B9" s="1">
        <v>1</v>
      </c>
      <c r="C9" s="6">
        <f t="shared" si="0"/>
        <v>0</v>
      </c>
      <c r="D9" s="1">
        <v>25</v>
      </c>
      <c r="E9" s="6">
        <f t="shared" si="1"/>
        <v>1.7777777777777777</v>
      </c>
      <c r="F9" s="1">
        <v>30</v>
      </c>
      <c r="G9" s="6">
        <f t="shared" si="2"/>
        <v>0.42857142857142855</v>
      </c>
      <c r="H9" s="1">
        <v>5</v>
      </c>
      <c r="I9" s="6">
        <f t="shared" si="3"/>
        <v>0</v>
      </c>
    </row>
    <row r="10" spans="1:9" x14ac:dyDescent="0.25">
      <c r="A10" s="5" t="s">
        <v>7</v>
      </c>
      <c r="B10" s="1">
        <v>0</v>
      </c>
      <c r="C10" s="6">
        <f t="shared" si="0"/>
        <v>-1</v>
      </c>
      <c r="D10" s="1">
        <v>93</v>
      </c>
      <c r="E10" s="6">
        <f t="shared" si="1"/>
        <v>2.72</v>
      </c>
      <c r="F10" s="1">
        <v>40</v>
      </c>
      <c r="G10" s="6">
        <f t="shared" si="2"/>
        <v>0.33333333333333331</v>
      </c>
      <c r="H10" s="1">
        <v>6</v>
      </c>
      <c r="I10" s="6">
        <f t="shared" si="3"/>
        <v>0.2</v>
      </c>
    </row>
    <row r="11" spans="1:9" x14ac:dyDescent="0.25">
      <c r="A11" s="5" t="s">
        <v>8</v>
      </c>
      <c r="B11" s="1">
        <v>1</v>
      </c>
      <c r="C11" s="6">
        <f t="shared" si="0"/>
        <v>0</v>
      </c>
      <c r="D11" s="1">
        <v>453</v>
      </c>
      <c r="E11" s="6">
        <f t="shared" si="1"/>
        <v>3.870967741935484</v>
      </c>
      <c r="F11" s="1">
        <v>79</v>
      </c>
      <c r="G11" s="6">
        <f t="shared" si="2"/>
        <v>0.97499999999999998</v>
      </c>
      <c r="H11" s="1">
        <v>28</v>
      </c>
      <c r="I11" s="6">
        <f t="shared" si="3"/>
        <v>3.6666666666666665</v>
      </c>
    </row>
    <row r="12" spans="1:9" x14ac:dyDescent="0.25">
      <c r="A12" s="5" t="s">
        <v>9</v>
      </c>
      <c r="B12" s="1">
        <v>5</v>
      </c>
      <c r="C12" s="6">
        <f t="shared" si="0"/>
        <v>4</v>
      </c>
      <c r="D12" s="9">
        <v>1031</v>
      </c>
      <c r="E12" s="6">
        <f t="shared" si="1"/>
        <v>1.2759381898454747</v>
      </c>
      <c r="F12" s="1">
        <v>134</v>
      </c>
      <c r="G12" s="6">
        <f t="shared" si="2"/>
        <v>0.69620253164556967</v>
      </c>
      <c r="H12" s="1">
        <v>105</v>
      </c>
      <c r="I12" s="6">
        <f t="shared" si="3"/>
        <v>2.75</v>
      </c>
    </row>
    <row r="13" spans="1:9" x14ac:dyDescent="0.25">
      <c r="A13" s="5" t="s">
        <v>10</v>
      </c>
      <c r="B13" s="1">
        <v>8</v>
      </c>
      <c r="C13" s="6">
        <f t="shared" si="0"/>
        <v>0.6</v>
      </c>
      <c r="D13" s="9">
        <v>2197</v>
      </c>
      <c r="E13" s="6">
        <f t="shared" si="1"/>
        <v>1.1309408341416101</v>
      </c>
      <c r="F13" s="1">
        <v>422</v>
      </c>
      <c r="G13" s="6">
        <f t="shared" si="2"/>
        <v>2.1492537313432836</v>
      </c>
      <c r="H13" s="1">
        <v>175</v>
      </c>
      <c r="I13" s="6">
        <f t="shared" si="3"/>
        <v>0.66666666666666663</v>
      </c>
    </row>
    <row r="14" spans="1:9" x14ac:dyDescent="0.25">
      <c r="A14" s="5" t="s">
        <v>11</v>
      </c>
      <c r="B14" s="1">
        <v>13</v>
      </c>
      <c r="C14" s="6">
        <f t="shared" si="0"/>
        <v>0.625</v>
      </c>
      <c r="D14" s="9">
        <v>3387</v>
      </c>
      <c r="E14" s="6">
        <f t="shared" si="1"/>
        <v>0.54164770141101504</v>
      </c>
      <c r="F14" s="1">
        <v>713</v>
      </c>
      <c r="G14" s="6">
        <f t="shared" si="2"/>
        <v>0.68957345971563977</v>
      </c>
      <c r="H14" s="1">
        <v>286</v>
      </c>
      <c r="I14" s="6">
        <f t="shared" si="3"/>
        <v>0.63428571428571423</v>
      </c>
    </row>
    <row r="15" spans="1:9" x14ac:dyDescent="0.25">
      <c r="A15" s="5" t="s">
        <v>12</v>
      </c>
      <c r="B15" s="1">
        <v>34</v>
      </c>
      <c r="C15" s="6">
        <f t="shared" si="0"/>
        <v>1.6153846153846154</v>
      </c>
      <c r="D15" s="9">
        <v>4452</v>
      </c>
      <c r="E15" s="6">
        <f t="shared" si="1"/>
        <v>0.31443755535872453</v>
      </c>
      <c r="F15" s="9">
        <v>1021</v>
      </c>
      <c r="G15" s="6">
        <f t="shared" si="2"/>
        <v>0.43197755960729312</v>
      </c>
      <c r="H15" s="1">
        <v>447</v>
      </c>
      <c r="I15" s="6">
        <f t="shared" si="3"/>
        <v>0.56293706293706292</v>
      </c>
    </row>
    <row r="16" spans="1:9" x14ac:dyDescent="0.25">
      <c r="A16" s="5" t="s">
        <v>13</v>
      </c>
      <c r="B16" s="1">
        <v>56</v>
      </c>
      <c r="C16" s="6">
        <f t="shared" si="0"/>
        <v>0.6470588235294118</v>
      </c>
      <c r="D16" s="9">
        <v>4075</v>
      </c>
      <c r="E16" s="6">
        <f t="shared" si="1"/>
        <v>-8.4681042228212045E-2</v>
      </c>
      <c r="F16" s="1">
        <v>989</v>
      </c>
      <c r="G16" s="6">
        <f t="shared" si="2"/>
        <v>-3.1341821743388835E-2</v>
      </c>
      <c r="H16" s="1">
        <v>386</v>
      </c>
      <c r="I16" s="6">
        <f t="shared" si="3"/>
        <v>-0.13646532438478748</v>
      </c>
    </row>
    <row r="17" spans="1:9" x14ac:dyDescent="0.25">
      <c r="A17" s="5" t="s">
        <v>14</v>
      </c>
      <c r="B17" s="1">
        <v>106</v>
      </c>
      <c r="C17" s="6">
        <f t="shared" si="0"/>
        <v>0.8928571428571429</v>
      </c>
      <c r="D17" s="9">
        <v>4943</v>
      </c>
      <c r="E17" s="6">
        <f t="shared" si="1"/>
        <v>0.21300613496932516</v>
      </c>
      <c r="F17" s="9">
        <v>1275</v>
      </c>
      <c r="G17" s="6">
        <f t="shared" si="2"/>
        <v>0.2891809908998989</v>
      </c>
      <c r="H17" s="1">
        <v>594</v>
      </c>
      <c r="I17" s="6">
        <f t="shared" si="3"/>
        <v>0.53886010362694303</v>
      </c>
    </row>
    <row r="18" spans="1:9" x14ac:dyDescent="0.25">
      <c r="A18" s="5" t="s">
        <v>15</v>
      </c>
      <c r="B18" s="1">
        <v>180</v>
      </c>
      <c r="C18" s="6">
        <f t="shared" si="0"/>
        <v>0.69811320754716977</v>
      </c>
      <c r="D18" s="9">
        <v>5720</v>
      </c>
      <c r="E18" s="6">
        <f t="shared" si="1"/>
        <v>0.15719198867084766</v>
      </c>
      <c r="F18" s="9">
        <v>1668</v>
      </c>
      <c r="G18" s="6">
        <f t="shared" si="2"/>
        <v>0.30823529411764705</v>
      </c>
      <c r="H18" s="1">
        <v>789</v>
      </c>
      <c r="I18" s="6">
        <f t="shared" si="3"/>
        <v>0.32828282828282829</v>
      </c>
    </row>
    <row r="19" spans="1:9" x14ac:dyDescent="0.25">
      <c r="A19" s="5" t="s">
        <v>16</v>
      </c>
      <c r="B19" s="1">
        <v>321</v>
      </c>
      <c r="C19" s="6">
        <f t="shared" si="0"/>
        <v>0.78333333333333333</v>
      </c>
      <c r="D19" s="9">
        <v>6153</v>
      </c>
      <c r="E19" s="6">
        <f t="shared" si="1"/>
        <v>7.5699300699300698E-2</v>
      </c>
      <c r="F19" s="9">
        <v>1843</v>
      </c>
      <c r="G19" s="6">
        <f t="shared" si="2"/>
        <v>0.10491606714628297</v>
      </c>
      <c r="H19" s="1">
        <v>804</v>
      </c>
      <c r="I19" s="6">
        <f t="shared" si="3"/>
        <v>1.9011406844106463E-2</v>
      </c>
    </row>
    <row r="20" spans="1:9" x14ac:dyDescent="0.25">
      <c r="A20" s="5" t="s">
        <v>17</v>
      </c>
      <c r="B20" s="1">
        <v>378</v>
      </c>
      <c r="C20" s="6">
        <f t="shared" si="0"/>
        <v>0.17757009345794392</v>
      </c>
      <c r="D20" s="9">
        <v>7266</v>
      </c>
      <c r="E20" s="6">
        <f t="shared" si="1"/>
        <v>0.18088737201365188</v>
      </c>
      <c r="F20" s="9">
        <v>2294</v>
      </c>
      <c r="G20" s="6">
        <f t="shared" si="2"/>
        <v>0.24470971242539338</v>
      </c>
      <c r="H20" s="1">
        <v>707</v>
      </c>
      <c r="I20" s="6">
        <f t="shared" si="3"/>
        <v>-0.12064676616915423</v>
      </c>
    </row>
    <row r="21" spans="1:9" x14ac:dyDescent="0.25">
      <c r="A21" s="5" t="s">
        <v>18</v>
      </c>
      <c r="B21" s="1">
        <v>826</v>
      </c>
      <c r="C21" s="6">
        <f t="shared" si="0"/>
        <v>1.1851851851851851</v>
      </c>
      <c r="D21" s="9">
        <v>8999</v>
      </c>
      <c r="E21" s="6">
        <f t="shared" si="1"/>
        <v>0.23850812001101018</v>
      </c>
      <c r="F21" s="9">
        <v>3334</v>
      </c>
      <c r="G21" s="6">
        <f t="shared" si="2"/>
        <v>0.45335658238884047</v>
      </c>
      <c r="H21" s="1">
        <v>818</v>
      </c>
      <c r="I21" s="6">
        <f t="shared" si="3"/>
        <v>0.15700141442715701</v>
      </c>
    </row>
    <row r="22" spans="1:9" x14ac:dyDescent="0.25">
      <c r="A22" s="5" t="s">
        <v>19</v>
      </c>
      <c r="B22" s="9">
        <v>1370</v>
      </c>
      <c r="C22" s="6">
        <f t="shared" si="0"/>
        <v>0.65859564164648909</v>
      </c>
      <c r="D22" s="9">
        <v>9401</v>
      </c>
      <c r="E22" s="6">
        <f t="shared" si="1"/>
        <v>4.4671630181131239E-2</v>
      </c>
      <c r="F22" s="9">
        <v>3658</v>
      </c>
      <c r="G22" s="6">
        <f t="shared" si="2"/>
        <v>9.7180563887222557E-2</v>
      </c>
      <c r="H22" s="1">
        <v>795</v>
      </c>
      <c r="I22" s="6">
        <f t="shared" si="3"/>
        <v>-2.8117359413202935E-2</v>
      </c>
    </row>
    <row r="23" spans="1:9" ht="25.5" x14ac:dyDescent="0.25">
      <c r="A23" s="11" t="s">
        <v>29</v>
      </c>
      <c r="B23" s="12">
        <v>839</v>
      </c>
      <c r="C23" s="13">
        <f t="shared" si="0"/>
        <v>-0.3875912408759124</v>
      </c>
      <c r="D23" s="14">
        <v>4386</v>
      </c>
      <c r="E23" s="13">
        <f t="shared" si="1"/>
        <v>-0.53345388788426762</v>
      </c>
      <c r="F23" s="14">
        <v>1518</v>
      </c>
      <c r="G23" s="15">
        <f t="shared" si="2"/>
        <v>-0.58501913613996714</v>
      </c>
      <c r="H23" s="12">
        <v>334</v>
      </c>
      <c r="I23" s="13">
        <f>IF(H22=0, 0, (H23-H22)/H22)</f>
        <v>-0.57987421383647797</v>
      </c>
    </row>
    <row r="24" spans="1:9" x14ac:dyDescent="0.25">
      <c r="A24" s="16" t="s">
        <v>31</v>
      </c>
      <c r="B24" s="16"/>
    </row>
    <row r="25" spans="1:9" ht="15.75" x14ac:dyDescent="0.25">
      <c r="A25" s="17"/>
      <c r="B25" s="17"/>
      <c r="C25" s="18">
        <f>AVERAGE(C13:C22)</f>
        <v>0.78830980429412911</v>
      </c>
      <c r="E25" s="18">
        <f>AVERAGE(E13:E22)</f>
        <v>0.28123095952284044</v>
      </c>
      <c r="G25" s="18">
        <f>AVERAGE(G13:G22)</f>
        <v>0.47370421397881141</v>
      </c>
      <c r="I25" s="18">
        <f>AVERAGE(I13:I22)</f>
        <v>0.26218157471033338</v>
      </c>
    </row>
  </sheetData>
  <mergeCells count="2">
    <mergeCell ref="A1:H1"/>
    <mergeCell ref="A24:B25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</cp:lastModifiedBy>
  <dcterms:created xsi:type="dcterms:W3CDTF">2026-06-25T11:37:11Z</dcterms:created>
  <dcterms:modified xsi:type="dcterms:W3CDTF">2026-06-25T12:17:39Z</dcterms:modified>
</cp:coreProperties>
</file>